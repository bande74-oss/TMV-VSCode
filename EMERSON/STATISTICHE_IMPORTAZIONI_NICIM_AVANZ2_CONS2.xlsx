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5b26965024956a2/Documenti/READYTEC/TMV/VSCODE - TMV/EMERSON/"/>
    </mc:Choice>
  </mc:AlternateContent>
  <xr:revisionPtr revIDLastSave="7" documentId="11_467C2F56CF12D3780E3EAC29876E458221F1F9A7" xr6:coauthVersionLast="47" xr6:coauthVersionMax="47" xr10:uidLastSave="{5FB1D7AC-2523-4CD1-B95B-2E3DDA8D3F45}"/>
  <bookViews>
    <workbookView xWindow="-120" yWindow="-120" windowWidth="29040" windowHeight="17520" activeTab="1" xr2:uid="{00000000-000D-0000-FFFF-FFFF00000000}"/>
  </bookViews>
  <sheets>
    <sheet name="Dashboard &amp; Sintesi" sheetId="1" r:id="rId1"/>
    <sheet name="Avanzamenti Mensili" sheetId="2" r:id="rId2"/>
    <sheet name="Consumi Mensili" sheetId="3" r:id="rId3"/>
    <sheet name="Sinottico per Tipologi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F11" i="4" s="1"/>
  <c r="D11" i="4"/>
  <c r="C11" i="4"/>
  <c r="N27" i="3"/>
  <c r="M27" i="3"/>
  <c r="L27" i="3"/>
  <c r="K27" i="3"/>
  <c r="J27" i="3"/>
  <c r="H27" i="3"/>
  <c r="I27" i="3" s="1"/>
  <c r="F27" i="3"/>
  <c r="G27" i="3" s="1"/>
  <c r="E27" i="3"/>
  <c r="L27" i="2"/>
  <c r="K27" i="2"/>
  <c r="J27" i="2"/>
  <c r="H27" i="2"/>
  <c r="I27" i="2" s="1"/>
  <c r="F27" i="2"/>
  <c r="G27" i="2" s="1"/>
  <c r="E27" i="2"/>
</calcChain>
</file>

<file path=xl/sharedStrings.xml><?xml version="1.0" encoding="utf-8"?>
<sst xmlns="http://schemas.openxmlformats.org/spreadsheetml/2006/main" count="121" uniqueCount="96">
  <si>
    <t>Report Statistico Governance: Integrazione MES Overone vs Fallback Gestionale Alyante</t>
  </si>
  <si>
    <t>Analisi mensile dei trattamenti automatici tramite tracciati TMV-NICIM-AVAN2 (risorsa XXXX) e TMV-NICIM-CONS2</t>
  </si>
  <si>
    <t>DATA MASSIMA DOCUMENTI PRESA IN CONSIDERAZIONE: 14 SETTEMBRE 2026 (14/09/2026)
Copertura archivio analizzata: da Gennaio 2025 al 14/09/2026 (Data ultima registrazione contabile ODL e consumi)</t>
  </si>
  <si>
    <t>Database Analizzato:</t>
  </si>
  <si>
    <t>MSSQL 14.0.2120.1 (SQL Server 2017) / [DBTMV]</t>
  </si>
  <si>
    <t>Stored Procedure Sorgente:</t>
  </si>
  <si>
    <t>dbo.SPSO_STATISTICHE_IMPORTAZIONI_NICIM_GEMINI</t>
  </si>
  <si>
    <t>Autore Sviluppo &amp; Governance:</t>
  </si>
  <si>
    <t>SOLVERIS - Bandera Marco</t>
  </si>
  <si>
    <t>Data e Ora di Estrazione:</t>
  </si>
  <si>
    <t>23/09/2026 ore 12:15</t>
  </si>
  <si>
    <t>Tabelle di Riferimento:</t>
  </si>
  <si>
    <t>dbo.NICIM_AVANZ, dbo.NICIM_CONSMAT, dbo.RT15_OVERONE_AVANZAMENTI, dbo.RT16_OVERONE_CONSUMI</t>
  </si>
  <si>
    <t>TOTALE AVANZAMENTI</t>
  </si>
  <si>
    <t>AVANZAMENTI DA MES OVERONE</t>
  </si>
  <si>
    <t>FORZATURE ALYANTE ('XXXX')</t>
  </si>
  <si>
    <t>ADOZIONE MES (SET-2026)</t>
  </si>
  <si>
    <t>Sintesi dei Risultati di Governance e Trend Operativo</t>
  </si>
  <si>
    <t>1. AVANZAMENTI DI PRODUZIONE (NICIM_AVANZ):</t>
  </si>
  <si>
    <t xml:space="preserve">   - Fino ad Aprile 2025: 100% degli avanzamenti era gestito forzatamente da Alyante (tracciato TMV-NICIM-AVAN2 con risorsa fittizia 'XXXX').</t>
  </si>
  <si>
    <t xml:space="preserve">   - Da Maggio 2025 a Luglio 2026: Entrata a regime del MES con il 60-70% di avanzamenti reali, mentre il restante 30-40% veniva forzato da Alyante (specie chiusure ODL fase 6000 e intermedie).</t>
  </si>
  <si>
    <t xml:space="preserve">   - Settembre 2026: Consolidamento quasi integrale del MES con il 99,25% di avanzamenti reali (solo 69 forzature su 9.210 righe).</t>
  </si>
  <si>
    <t>2. CONSUMI COMPONENTI (NICIM_CONSMAT):</t>
  </si>
  <si>
    <t xml:space="preserve">   - Dicembre 2025 - Gennaio 2026: Picco anomalo con oltre 23.000 consumi forzati da Alyante, trainati da scarichi massivi di forgiati/stampati KB_ (13.800 righe) e dadi di stock (7.600 righe).</t>
  </si>
  <si>
    <t xml:space="preserve">   - Primavera/Estate 2026: Stretta sulle dichiarazioni a bordo macchina: da aprile 2026 i consumi reali MES superano stabilmente il 90-95%, arrivando al 99,49% a Settembre 2026.</t>
  </si>
  <si>
    <t>3. CASISTICA LOTTI FITTIZI E MINUTERIA:</t>
  </si>
  <si>
    <t xml:space="preserve">   - Oltre 7.600 righe di consumo sono state regolarizzate impiegando il lotto convenzionale 'LT-2403-999'.</t>
  </si>
  <si>
    <t xml:space="preserve">   - La minuteria e viteria (prefisso 'D--') e gli stampati forgiati ('KB_') rappresentano storicamente i materiali con la piu alta quota di forzatura gestionale.</t>
  </si>
  <si>
    <t>STATISTICA MENSILE AVANZAMENTI DI PRODUZIONE (NICIM_AVANZ)</t>
  </si>
  <si>
    <t>Ripartizione temporale tra dichiarazioni a macchina (MES Overone) e forzature gestionali Alyante ('XXXX') | Data Max: 14/09/2026</t>
  </si>
  <si>
    <t>Anno</t>
  </si>
  <si>
    <t>Mese</t>
  </si>
  <si>
    <t>Periodo</t>
  </si>
  <si>
    <t>Totale Avanzamenti</t>
  </si>
  <si>
    <t>MES Overone (Reali)</t>
  </si>
  <si>
    <t>% MES Reale</t>
  </si>
  <si>
    <t>Alyante Fallback ('XXXX')</t>
  </si>
  <si>
    <t>% Alyante 'XXXX'</t>
  </si>
  <si>
    <t>Alyante: Versamento (Fase 1000)</t>
  </si>
  <si>
    <t>Alyante: Chiusura (Fase 6000)</t>
  </si>
  <si>
    <t>Alyante: Fasi Intermedie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</si>
  <si>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</si>
  <si>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</si>
  <si>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</si>
  <si>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</si>
  <si>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</si>
  <si>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</si>
  <si>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</si>
  <si>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</si>
  <si>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</si>
  <si>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</si>
  <si>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</si>
  <si>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</si>
  <si>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</si>
  <si>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</si>
  <si>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</si>
  <si>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</si>
  <si>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</si>
  <si>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</si>
  <si>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</si>
  <si>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</si>
  <si>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</si>
  <si>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TOTALE</t>
  </si>
  <si>
    <t>STATISTICA MENSILE CONSUMI COMPONENTI E LOTTI (NICIM_CONSMAT)</t>
  </si>
  <si>
    <t>Ripartizione consumi reali dichiarati su MES vs forzature tracciato TMV-NICIM-CONS2 | Data Max: 14/09/2026</t>
  </si>
  <si>
    <t>Totale Consumi</t>
  </si>
  <si>
    <t>Consumi MES (Reali)</t>
  </si>
  <si>
    <t>% Consumi MES</t>
  </si>
  <si>
    <t>Consumi Forzati Alyante</t>
  </si>
  <si>
    <t>% Forzati Alyante</t>
  </si>
  <si>
    <t>Lotto Fittizio ('LT-2403-999')</t>
  </si>
  <si>
    <t>Alyante: Minuteria / Dadi ('D--')</t>
  </si>
  <si>
    <t>Alyante: Forgiati ('KB_')</t>
  </si>
  <si>
    <t>Alyante: Barre ('TDR/TDP')</t>
  </si>
  <si>
    <t>Alyante: Altri Materiali</t>
  </si>
  <si>
    <t>SINOTTICO CONSUMI PER TIPOLOGIA MERCEOLOGICA</t>
  </si>
  <si>
    <t>Ripartizione globale per famiglia di componente (Gennaio 2025 - 14/09/2026)</t>
  </si>
  <si>
    <t>Famiglia / Categoria Materiale</t>
  </si>
  <si>
    <t>Totale Righe Consumate</t>
  </si>
  <si>
    <t>Gestite Regolarmente da MES</t>
  </si>
  <si>
    <t>Forzate da Tracciato Alyante</t>
  </si>
  <si>
    <t>% Forzatura Gestionale</t>
  </si>
  <si>
    <t>Descrizione Funzionale / Note di Processo</t>
  </si>
  <si>
    <t>Barre / Tubi da Taglio (Prefisso TDR/TDP)</t>
  </si>
  <si>
    <t>Materiale primario di lavorazione (barre trafilate/pelate). Elevata aderenza al MES (92,8% gestito a bordo macchina).</t>
  </si>
  <si>
    <t>Minuteria / Dadi Stock (Prefisso D--)</t>
  </si>
  <si>
    <t>Viteria e dadi gestiti con politica stock a magazzino. Circa meta dei volumi viene scaricata da Alyante in automatico.</t>
  </si>
  <si>
    <t>Forgiati / Stampati (Prefisso KB_)</t>
  </si>
  <si>
    <t>Grezzi forgiati/stampati. Storicamente forzati da Alyante tramite abbinamento a giacenze con certificato (CO5L/DF-DDT-CERTIF).</t>
  </si>
  <si>
    <t>Altri Semilavorati / Componenti Diversi</t>
  </si>
  <si>
    <t>Componenti eterogenei di montaggio e ripresa lavorazione.</t>
  </si>
  <si>
    <t>Lotto Fittizio di Emergenza (LT-2403-999)</t>
  </si>
  <si>
    <t>Lotto fittizio convenzionale impiegato come 'salvagente' per evadere ODL privi di giacenza o con tracciabilita mancante.</t>
  </si>
  <si>
    <t>TOTALE COMPLESSIVO</t>
  </si>
  <si>
    <t>Periodo Gen-2025 / 14-Set-2026</t>
  </si>
  <si>
    <t>TMV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</si>
</sst>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3"/>
      <color rgb="FF333333"/>
      <name val="Calibri"/>
    </font>
    <font>
      <i/>
      <sz val="11"/>
      <color rgb="FF595959"/>
      <name val="Calibri"/>
    </font>
    <font>
      <b/>
      <sz val="12"/>
      <color rgb="FF9C0006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595959"/>
      <name val="Calibri"/>
    </font>
    <font>
      <b/>
      <sz val="12"/>
      <color rgb="FF1F4E79"/>
      <name val="Calibri"/>
    </font>
    <font>
      <b/>
      <sz val="16"/>
      <color rgb="FF1F4E79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medium">
        <color rgb="FF9C0006"/>
      </left>
      <right style="medium">
        <color rgb="FF9C0006"/>
      </right>
      <top style="medium">
        <color rgb="FF9C0006"/>
      </top>
      <bottom style="medium">
        <color rgb="FF9C000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4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3" fontId="6" fillId="0" borderId="2" xfId="0" applyNumberFormat="1" applyFont="1" applyBorder="1" applyAlignment="1">
      <alignment horizontal="right"/>
    </xf>
    <xf numFmtId="10" fontId="6" fillId="5" borderId="2" xfId="0" applyNumberFormat="1" applyFont="1" applyFill="1" applyBorder="1" applyAlignment="1">
      <alignment horizontal="right"/>
    </xf>
    <xf numFmtId="10" fontId="6" fillId="6" borderId="2" xfId="0" applyNumberFormat="1" applyFont="1" applyFill="1" applyBorder="1" applyAlignment="1">
      <alignment horizontal="right"/>
    </xf>
    <xf numFmtId="0" fontId="5" fillId="7" borderId="4" xfId="0" applyFont="1" applyFill="1" applyBorder="1" applyAlignment="1">
      <alignment horizontal="center"/>
    </xf>
    <xf numFmtId="0" fontId="5" fillId="7" borderId="4" xfId="0" applyFont="1" applyFill="1" applyBorder="1"/>
    <xf numFmtId="3" fontId="5" fillId="7" borderId="4" xfId="0" applyNumberFormat="1" applyFont="1" applyFill="1" applyBorder="1"/>
    <xf numFmtId="10" fontId="5" fillId="7" borderId="4" xfId="0" applyNumberFormat="1" applyFont="1" applyFill="1" applyBorder="1"/>
    <xf numFmtId="0" fontId="6" fillId="0" borderId="2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3" borderId="2" xfId="0" applyFont="1" applyFill="1" applyBorder="1" applyAlignment="1">
      <alignment horizontal="center"/>
    </xf>
    <xf numFmtId="0" fontId="0" fillId="3" borderId="2" xfId="0" applyFill="1" applyBorder="1"/>
    <xf numFmtId="3" fontId="1" fillId="3" borderId="2" xfId="0" applyNumberFormat="1" applyFont="1" applyFill="1" applyBorder="1" applyAlignment="1">
      <alignment horizontal="center"/>
    </xf>
    <xf numFmtId="10" fontId="1" fillId="3" borderId="2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3"/>
  <sheetViews>
    <sheetView workbookViewId="0">
      <selection activeCell="B13" sqref="B13"/>
    </sheetView>
  </sheetViews>
  <sheetFormatPr defaultRowHeight="15" x14ac:dyDescent="0.25"/>
  <cols>
    <col min="1" max="1" width="12" customWidth="1"/>
    <col min="2" max="2" width="104.140625" customWidth="1"/>
    <col min="3" max="3" width="12" customWidth="1"/>
    <col min="4" max="4" width="50.7109375" customWidth="1"/>
    <col min="5" max="9" width="12" customWidth="1"/>
  </cols>
  <sheetData>
    <row r="2" spans="2:9" ht="23.25" x14ac:dyDescent="0.35">
      <c r="B2" s="1" t="s">
        <v>95</v>
      </c>
    </row>
    <row r="3" spans="2:9" ht="17.25" x14ac:dyDescent="0.3">
      <c r="B3" s="2" t="s">
        <v>0</v>
      </c>
    </row>
    <row r="4" spans="2:9" x14ac:dyDescent="0.25">
      <c r="B4" s="3" t="s">
        <v>1</v>
      </c>
    </row>
    <row r="6" spans="2:9" x14ac:dyDescent="0.25">
      <c r="B6" s="18" t="s">
        <v>2</v>
      </c>
      <c r="C6" s="19"/>
      <c r="D6" s="19"/>
      <c r="E6" s="19"/>
      <c r="F6" s="19"/>
      <c r="G6" s="19"/>
      <c r="H6" s="19"/>
    </row>
    <row r="7" spans="2:9" x14ac:dyDescent="0.25">
      <c r="B7" s="19"/>
      <c r="C7" s="19"/>
      <c r="D7" s="19"/>
      <c r="E7" s="19"/>
      <c r="F7" s="19"/>
      <c r="G7" s="19"/>
      <c r="H7" s="19"/>
    </row>
    <row r="9" spans="2:9" x14ac:dyDescent="0.25">
      <c r="B9" s="4" t="s">
        <v>3</v>
      </c>
      <c r="D9" s="5" t="s">
        <v>4</v>
      </c>
    </row>
    <row r="10" spans="2:9" x14ac:dyDescent="0.25">
      <c r="B10" s="4" t="s">
        <v>5</v>
      </c>
      <c r="D10" s="5" t="s">
        <v>6</v>
      </c>
    </row>
    <row r="11" spans="2:9" x14ac:dyDescent="0.25">
      <c r="B11" s="4" t="s">
        <v>7</v>
      </c>
      <c r="D11" s="5" t="s">
        <v>8</v>
      </c>
    </row>
    <row r="12" spans="2:9" x14ac:dyDescent="0.25">
      <c r="B12" s="4" t="s">
        <v>9</v>
      </c>
      <c r="D12" s="5" t="s">
        <v>10</v>
      </c>
    </row>
    <row r="13" spans="2:9" x14ac:dyDescent="0.25">
      <c r="B13" s="4" t="s">
        <v>11</v>
      </c>
      <c r="D13" s="5" t="s">
        <v>12</v>
      </c>
    </row>
    <row r="16" spans="2:9" x14ac:dyDescent="0.25">
      <c r="B16" s="20" t="s">
        <v>13</v>
      </c>
      <c r="C16" s="21"/>
      <c r="D16" s="20" t="s">
        <v>14</v>
      </c>
      <c r="E16" s="21"/>
      <c r="F16" s="20" t="s">
        <v>15</v>
      </c>
      <c r="G16" s="21"/>
      <c r="H16" s="20" t="s">
        <v>16</v>
      </c>
      <c r="I16" s="21"/>
    </row>
    <row r="17" spans="2:9" ht="23.25" x14ac:dyDescent="0.35">
      <c r="B17" s="22">
        <v>527189</v>
      </c>
      <c r="C17" s="21"/>
      <c r="D17" s="22">
        <v>355787</v>
      </c>
      <c r="E17" s="21"/>
      <c r="F17" s="22">
        <v>171402</v>
      </c>
      <c r="G17" s="21"/>
      <c r="H17" s="23">
        <v>0.99250000000000005</v>
      </c>
      <c r="I17" s="21"/>
    </row>
    <row r="20" spans="2:9" ht="15.75" x14ac:dyDescent="0.25">
      <c r="B20" s="6" t="s">
        <v>17</v>
      </c>
    </row>
    <row r="22" spans="2:9" x14ac:dyDescent="0.25">
      <c r="B22" s="4" t="s">
        <v>18</v>
      </c>
    </row>
    <row r="23" spans="2:9" x14ac:dyDescent="0.25">
      <c r="B23" s="5" t="s">
        <v>19</v>
      </c>
    </row>
    <row r="24" spans="2:9" x14ac:dyDescent="0.25">
      <c r="B24" s="5" t="s">
        <v>20</v>
      </c>
    </row>
    <row r="25" spans="2:9" x14ac:dyDescent="0.25">
      <c r="B25" s="5" t="s">
        <v>21</v>
      </c>
    </row>
    <row r="26" spans="2:9" x14ac:dyDescent="0.25">
      <c r="B26" s="5"/>
    </row>
    <row r="27" spans="2:9" x14ac:dyDescent="0.25">
      <c r="B27" s="4" t="s">
        <v>22</v>
      </c>
    </row>
    <row r="28" spans="2:9" x14ac:dyDescent="0.25">
      <c r="B28" s="5" t="s">
        <v>23</v>
      </c>
    </row>
    <row r="29" spans="2:9" x14ac:dyDescent="0.25">
      <c r="B29" s="5" t="s">
        <v>24</v>
      </c>
    </row>
    <row r="30" spans="2:9" x14ac:dyDescent="0.25">
      <c r="B30" s="5"/>
    </row>
    <row r="31" spans="2:9" x14ac:dyDescent="0.25">
      <c r="B31" s="4" t="s">
        <v>25</v>
      </c>
    </row>
    <row r="32" spans="2:9" x14ac:dyDescent="0.25">
      <c r="B32" s="5" t="s">
        <v>26</v>
      </c>
    </row>
    <row r="33" spans="2:2" x14ac:dyDescent="0.25">
      <c r="B33" s="5" t="s">
        <v>27</v>
      </c>
    </row>
  </sheetData>
  <mergeCells count="9">
    <mergeCell ref="B17:C17"/>
    <mergeCell ref="D17:E17"/>
    <mergeCell ref="F17:G17"/>
    <mergeCell ref="H17:I17"/>
    <mergeCell ref="B6:H7"/>
    <mergeCell ref="D16:E16"/>
    <mergeCell ref="B16:C16"/>
    <mergeCell ref="H16:I16"/>
    <mergeCell ref="F16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7"/>
  <sheetViews>
    <sheetView tabSelected="1" workbookViewId="0"/>
  </sheetViews>
  <sheetFormatPr defaultRowHeight="15" x14ac:dyDescent="0.25"/>
  <cols>
    <col min="1" max="1" width="12" customWidth="1"/>
    <col min="2" max="2" width="30.42578125" customWidth="1"/>
    <col min="3" max="4" width="12" customWidth="1"/>
    <col min="5" max="5" width="22" customWidth="1"/>
    <col min="6" max="6" width="23" customWidth="1"/>
    <col min="7" max="7" width="15" customWidth="1"/>
    <col min="8" max="8" width="29" customWidth="1"/>
    <col min="9" max="9" width="20" customWidth="1"/>
    <col min="10" max="10" width="35" customWidth="1"/>
    <col min="11" max="11" width="33" customWidth="1"/>
    <col min="12" max="12" width="28" customWidth="1"/>
  </cols>
  <sheetData>
    <row r="2" spans="2:12" ht="21" x14ac:dyDescent="0.35">
      <c r="B2" s="7" t="s">
        <v>28</v>
      </c>
    </row>
    <row r="3" spans="2:12" x14ac:dyDescent="0.25">
      <c r="B3" s="3" t="s">
        <v>29</v>
      </c>
    </row>
    <row r="5" spans="2:12" ht="27.95" customHeight="1" x14ac:dyDescent="0.25">
      <c r="B5" s="8" t="s">
        <v>30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35</v>
      </c>
      <c r="H5" s="8" t="s">
        <v>36</v>
      </c>
      <c r="I5" s="8" t="s">
        <v>37</v>
      </c>
      <c r="J5" s="8" t="s">
        <v>38</v>
      </c>
      <c r="K5" s="8" t="s">
        <v>39</v>
      </c>
      <c r="L5" s="8" t="s">
        <v>40</v>
      </c>
    </row>
    <row r="6" spans="2:12" x14ac:dyDescent="0.25">
      <c r="B6" s="9">
        <v>2025</v>
      </c>
      <c r="C6" s="9">
        <v>1</v>
      </c>
      <c r="D6" s="9" t="s">
        <v>41</v>
      </c>
      <c r="E6" s="10">
        <v>308</v>
      </c>
      <c r="F6" s="10">
        <v>0</v>
      </c>
      <c r="G6" s="11">
        <v>0</v>
      </c>
      <c r="H6" s="10">
        <v>308</v>
      </c>
      <c r="I6" s="12">
        <v>1</v>
      </c>
      <c r="J6" s="10">
        <v>7</v>
      </c>
      <c r="K6" s="10">
        <v>118</v>
      </c>
      <c r="L6" s="10">
        <v>183</v>
      </c>
    </row>
    <row r="7" spans="2:12" x14ac:dyDescent="0.25">
      <c r="B7" s="9">
        <v>2025</v>
      </c>
      <c r="C7" s="9">
        <v>2</v>
      </c>
      <c r="D7" s="9" t="s">
        <v>42</v>
      </c>
      <c r="E7" s="10">
        <v>499</v>
      </c>
      <c r="F7" s="10">
        <v>0</v>
      </c>
      <c r="G7" s="11">
        <v>0</v>
      </c>
      <c r="H7" s="10">
        <v>499</v>
      </c>
      <c r="I7" s="12">
        <v>1</v>
      </c>
      <c r="J7" s="10">
        <v>9</v>
      </c>
      <c r="K7" s="10">
        <v>110</v>
      </c>
      <c r="L7" s="10">
        <v>380</v>
      </c>
    </row>
    <row r="8" spans="2:12" x14ac:dyDescent="0.25">
      <c r="B8" s="9">
        <v>2025</v>
      </c>
      <c r="C8" s="9">
        <v>3</v>
      </c>
      <c r="D8" s="9" t="s">
        <v>43</v>
      </c>
      <c r="E8" s="10">
        <v>1622</v>
      </c>
      <c r="F8" s="10">
        <v>0</v>
      </c>
      <c r="G8" s="11">
        <v>0</v>
      </c>
      <c r="H8" s="10">
        <v>1622</v>
      </c>
      <c r="I8" s="12">
        <v>1</v>
      </c>
      <c r="J8" s="10">
        <v>18</v>
      </c>
      <c r="K8" s="10">
        <v>498</v>
      </c>
      <c r="L8" s="10">
        <v>1106</v>
      </c>
    </row>
    <row r="9" spans="2:12" x14ac:dyDescent="0.25">
      <c r="B9" s="9">
        <v>2025</v>
      </c>
      <c r="C9" s="9">
        <v>4</v>
      </c>
      <c r="D9" s="9" t="s">
        <v>44</v>
      </c>
      <c r="E9" s="10">
        <v>9045</v>
      </c>
      <c r="F9" s="10">
        <v>0</v>
      </c>
      <c r="G9" s="11">
        <v>0</v>
      </c>
      <c r="H9" s="10">
        <v>9045</v>
      </c>
      <c r="I9" s="12">
        <v>1</v>
      </c>
      <c r="J9" s="10">
        <v>136</v>
      </c>
      <c r="K9" s="10">
        <v>2340</v>
      </c>
      <c r="L9" s="10">
        <v>6569</v>
      </c>
    </row>
    <row r="10" spans="2:12" x14ac:dyDescent="0.25">
      <c r="B10" s="9">
        <v>2025</v>
      </c>
      <c r="C10" s="9">
        <v>5</v>
      </c>
      <c r="D10" s="9" t="s">
        <v>45</v>
      </c>
      <c r="E10" s="10">
        <v>20173</v>
      </c>
      <c r="F10" s="10">
        <v>8286</v>
      </c>
      <c r="G10" s="11">
        <v>0.41070000000000001</v>
      </c>
      <c r="H10" s="10">
        <v>11887</v>
      </c>
      <c r="I10" s="12">
        <v>0.58930000000000005</v>
      </c>
      <c r="J10" s="10">
        <v>463</v>
      </c>
      <c r="K10" s="10">
        <v>3983</v>
      </c>
      <c r="L10" s="10">
        <v>7441</v>
      </c>
    </row>
    <row r="11" spans="2:12" x14ac:dyDescent="0.25">
      <c r="B11" s="9">
        <v>2025</v>
      </c>
      <c r="C11" s="9">
        <v>6</v>
      </c>
      <c r="D11" s="9" t="s">
        <v>46</v>
      </c>
      <c r="E11" s="10">
        <v>32741</v>
      </c>
      <c r="F11" s="10">
        <v>22165</v>
      </c>
      <c r="G11" s="11">
        <v>0.67700000000000005</v>
      </c>
      <c r="H11" s="10">
        <v>10576</v>
      </c>
      <c r="I11" s="12">
        <v>0.32300000000000001</v>
      </c>
      <c r="J11" s="10">
        <v>347</v>
      </c>
      <c r="K11" s="10">
        <v>3382</v>
      </c>
      <c r="L11" s="10">
        <v>6847</v>
      </c>
    </row>
    <row r="12" spans="2:12" x14ac:dyDescent="0.25">
      <c r="B12" s="9">
        <v>2025</v>
      </c>
      <c r="C12" s="9">
        <v>7</v>
      </c>
      <c r="D12" s="9" t="s">
        <v>47</v>
      </c>
      <c r="E12" s="10">
        <v>36634</v>
      </c>
      <c r="F12" s="10">
        <v>20835</v>
      </c>
      <c r="G12" s="11">
        <v>0.56869999999999998</v>
      </c>
      <c r="H12" s="10">
        <v>15799</v>
      </c>
      <c r="I12" s="12">
        <v>0.43130000000000002</v>
      </c>
      <c r="J12" s="10">
        <v>515</v>
      </c>
      <c r="K12" s="10">
        <v>4652</v>
      </c>
      <c r="L12" s="10">
        <v>10632</v>
      </c>
    </row>
    <row r="13" spans="2:12" x14ac:dyDescent="0.25">
      <c r="B13" s="9">
        <v>2025</v>
      </c>
      <c r="C13" s="9">
        <v>8</v>
      </c>
      <c r="D13" s="9" t="s">
        <v>48</v>
      </c>
      <c r="E13" s="10">
        <v>26578</v>
      </c>
      <c r="F13" s="10">
        <v>14809</v>
      </c>
      <c r="G13" s="11">
        <v>0.55720000000000003</v>
      </c>
      <c r="H13" s="10">
        <v>11769</v>
      </c>
      <c r="I13" s="12">
        <v>0.44280000000000003</v>
      </c>
      <c r="J13" s="10">
        <v>456</v>
      </c>
      <c r="K13" s="10">
        <v>3747</v>
      </c>
      <c r="L13" s="10">
        <v>7566</v>
      </c>
    </row>
    <row r="14" spans="2:12" x14ac:dyDescent="0.25">
      <c r="B14" s="9">
        <v>2025</v>
      </c>
      <c r="C14" s="9">
        <v>9</v>
      </c>
      <c r="D14" s="9" t="s">
        <v>49</v>
      </c>
      <c r="E14" s="10">
        <v>34461</v>
      </c>
      <c r="F14" s="10">
        <v>23339</v>
      </c>
      <c r="G14" s="11">
        <v>0.67730000000000001</v>
      </c>
      <c r="H14" s="10">
        <v>11122</v>
      </c>
      <c r="I14" s="12">
        <v>0.32269999999999999</v>
      </c>
      <c r="J14" s="10">
        <v>345</v>
      </c>
      <c r="K14" s="10">
        <v>3589</v>
      </c>
      <c r="L14" s="10">
        <v>7188</v>
      </c>
    </row>
    <row r="15" spans="2:12" x14ac:dyDescent="0.25">
      <c r="B15" s="9">
        <v>2025</v>
      </c>
      <c r="C15" s="9">
        <v>10</v>
      </c>
      <c r="D15" s="9" t="s">
        <v>50</v>
      </c>
      <c r="E15" s="10">
        <v>42129</v>
      </c>
      <c r="F15" s="10">
        <v>25125</v>
      </c>
      <c r="G15" s="11">
        <v>0.59640000000000004</v>
      </c>
      <c r="H15" s="10">
        <v>17004</v>
      </c>
      <c r="I15" s="12">
        <v>0.40360000000000001</v>
      </c>
      <c r="J15" s="10">
        <v>470</v>
      </c>
      <c r="K15" s="10">
        <v>4761</v>
      </c>
      <c r="L15" s="10">
        <v>11773</v>
      </c>
    </row>
    <row r="16" spans="2:12" x14ac:dyDescent="0.25">
      <c r="B16" s="9">
        <v>2025</v>
      </c>
      <c r="C16" s="9">
        <v>11</v>
      </c>
      <c r="D16" s="9" t="s">
        <v>51</v>
      </c>
      <c r="E16" s="10">
        <v>35237</v>
      </c>
      <c r="F16" s="10">
        <v>22637</v>
      </c>
      <c r="G16" s="11">
        <v>0.64239999999999997</v>
      </c>
      <c r="H16" s="10">
        <v>12600</v>
      </c>
      <c r="I16" s="12">
        <v>0.35759999999999997</v>
      </c>
      <c r="J16" s="10">
        <v>357</v>
      </c>
      <c r="K16" s="10">
        <v>3843</v>
      </c>
      <c r="L16" s="10">
        <v>8400</v>
      </c>
    </row>
    <row r="17" spans="2:12" x14ac:dyDescent="0.25">
      <c r="B17" s="9">
        <v>2025</v>
      </c>
      <c r="C17" s="9">
        <v>12</v>
      </c>
      <c r="D17" s="9" t="s">
        <v>52</v>
      </c>
      <c r="E17" s="10">
        <v>28005</v>
      </c>
      <c r="F17" s="10">
        <v>16537</v>
      </c>
      <c r="G17" s="11">
        <v>0.59050000000000002</v>
      </c>
      <c r="H17" s="10">
        <v>11468</v>
      </c>
      <c r="I17" s="12">
        <v>0.40949999999999998</v>
      </c>
      <c r="J17" s="10">
        <v>207</v>
      </c>
      <c r="K17" s="10">
        <v>3619</v>
      </c>
      <c r="L17" s="10">
        <v>7642</v>
      </c>
    </row>
    <row r="18" spans="2:12" x14ac:dyDescent="0.25">
      <c r="B18" s="9">
        <v>2026</v>
      </c>
      <c r="C18" s="9">
        <v>1</v>
      </c>
      <c r="D18" s="9" t="s">
        <v>53</v>
      </c>
      <c r="E18" s="10">
        <v>35583</v>
      </c>
      <c r="F18" s="10">
        <v>22078</v>
      </c>
      <c r="G18" s="11">
        <v>0.62050000000000005</v>
      </c>
      <c r="H18" s="10">
        <v>13505</v>
      </c>
      <c r="I18" s="12">
        <v>0.3795</v>
      </c>
      <c r="J18" s="10">
        <v>334</v>
      </c>
      <c r="K18" s="10">
        <v>4633</v>
      </c>
      <c r="L18" s="10">
        <v>8538</v>
      </c>
    </row>
    <row r="19" spans="2:12" x14ac:dyDescent="0.25">
      <c r="B19" s="9">
        <v>2026</v>
      </c>
      <c r="C19" s="9">
        <v>2</v>
      </c>
      <c r="D19" s="9" t="s">
        <v>54</v>
      </c>
      <c r="E19" s="10">
        <v>39979</v>
      </c>
      <c r="F19" s="10">
        <v>26343</v>
      </c>
      <c r="G19" s="11">
        <v>0.65890000000000004</v>
      </c>
      <c r="H19" s="10">
        <v>13636</v>
      </c>
      <c r="I19" s="12">
        <v>0.34110000000000001</v>
      </c>
      <c r="J19" s="10">
        <v>162</v>
      </c>
      <c r="K19" s="10">
        <v>4443</v>
      </c>
      <c r="L19" s="10">
        <v>9031</v>
      </c>
    </row>
    <row r="20" spans="2:12" x14ac:dyDescent="0.25">
      <c r="B20" s="9">
        <v>2026</v>
      </c>
      <c r="C20" s="9">
        <v>3</v>
      </c>
      <c r="D20" s="9" t="s">
        <v>55</v>
      </c>
      <c r="E20" s="10">
        <v>42246</v>
      </c>
      <c r="F20" s="10">
        <v>27260</v>
      </c>
      <c r="G20" s="11">
        <v>0.64529999999999998</v>
      </c>
      <c r="H20" s="10">
        <v>14986</v>
      </c>
      <c r="I20" s="12">
        <v>0.35470000000000002</v>
      </c>
      <c r="J20" s="10">
        <v>382</v>
      </c>
      <c r="K20" s="10">
        <v>4270</v>
      </c>
      <c r="L20" s="10">
        <v>10334</v>
      </c>
    </row>
    <row r="21" spans="2:12" x14ac:dyDescent="0.25">
      <c r="B21" s="9">
        <v>2026</v>
      </c>
      <c r="C21" s="9">
        <v>4</v>
      </c>
      <c r="D21" s="9" t="s">
        <v>56</v>
      </c>
      <c r="E21" s="10">
        <v>42199</v>
      </c>
      <c r="F21" s="10">
        <v>28875</v>
      </c>
      <c r="G21" s="11">
        <v>0.68430000000000002</v>
      </c>
      <c r="H21" s="10">
        <v>13324</v>
      </c>
      <c r="I21" s="12">
        <v>0.31569999999999998</v>
      </c>
      <c r="J21" s="10">
        <v>350</v>
      </c>
      <c r="K21" s="10">
        <v>3815</v>
      </c>
      <c r="L21" s="10">
        <v>9159</v>
      </c>
    </row>
    <row r="22" spans="2:12" x14ac:dyDescent="0.25">
      <c r="B22" s="9">
        <v>2026</v>
      </c>
      <c r="C22" s="9">
        <v>5</v>
      </c>
      <c r="D22" s="9" t="s">
        <v>57</v>
      </c>
      <c r="E22" s="10">
        <v>38494</v>
      </c>
      <c r="F22" s="10">
        <v>23709</v>
      </c>
      <c r="G22" s="11">
        <v>0.6159</v>
      </c>
      <c r="H22" s="10">
        <v>14785</v>
      </c>
      <c r="I22" s="12">
        <v>0.3841</v>
      </c>
      <c r="J22" s="10">
        <v>308</v>
      </c>
      <c r="K22" s="10">
        <v>4523</v>
      </c>
      <c r="L22" s="10">
        <v>9954</v>
      </c>
    </row>
    <row r="23" spans="2:12" x14ac:dyDescent="0.25">
      <c r="B23" s="9">
        <v>2026</v>
      </c>
      <c r="C23" s="9">
        <v>6</v>
      </c>
      <c r="D23" s="9" t="s">
        <v>58</v>
      </c>
      <c r="E23" s="10">
        <v>38439</v>
      </c>
      <c r="F23" s="10">
        <v>26431</v>
      </c>
      <c r="G23" s="11">
        <v>0.68759999999999999</v>
      </c>
      <c r="H23" s="10">
        <v>12008</v>
      </c>
      <c r="I23" s="12">
        <v>0.31240000000000001</v>
      </c>
      <c r="J23" s="10">
        <v>110</v>
      </c>
      <c r="K23" s="10">
        <v>3976</v>
      </c>
      <c r="L23" s="10">
        <v>7922</v>
      </c>
    </row>
    <row r="24" spans="2:12" x14ac:dyDescent="0.25">
      <c r="B24" s="9">
        <v>2026</v>
      </c>
      <c r="C24" s="9">
        <v>7</v>
      </c>
      <c r="D24" s="9" t="s">
        <v>59</v>
      </c>
      <c r="E24" s="10">
        <v>34363</v>
      </c>
      <c r="F24" s="10">
        <v>26367</v>
      </c>
      <c r="G24" s="11">
        <v>0.76729999999999998</v>
      </c>
      <c r="H24" s="10">
        <v>7996</v>
      </c>
      <c r="I24" s="12">
        <v>0.23269999999999999</v>
      </c>
      <c r="J24" s="10">
        <v>134</v>
      </c>
      <c r="K24" s="10">
        <v>3022</v>
      </c>
      <c r="L24" s="10">
        <v>4840</v>
      </c>
    </row>
    <row r="25" spans="2:12" x14ac:dyDescent="0.25">
      <c r="B25" s="9">
        <v>2026</v>
      </c>
      <c r="C25" s="9">
        <v>8</v>
      </c>
      <c r="D25" s="9" t="s">
        <v>60</v>
      </c>
      <c r="E25" s="10">
        <v>13726</v>
      </c>
      <c r="F25" s="10">
        <v>11850</v>
      </c>
      <c r="G25" s="11">
        <v>0.86329999999999996</v>
      </c>
      <c r="H25" s="10">
        <v>1876</v>
      </c>
      <c r="I25" s="12">
        <v>0.13669999999999999</v>
      </c>
      <c r="J25" s="10">
        <v>69</v>
      </c>
      <c r="K25" s="10">
        <v>704</v>
      </c>
      <c r="L25" s="10">
        <v>1103</v>
      </c>
    </row>
    <row r="26" spans="2:12" x14ac:dyDescent="0.25">
      <c r="B26" s="9">
        <v>2026</v>
      </c>
      <c r="C26" s="9">
        <v>9</v>
      </c>
      <c r="D26" s="9" t="s">
        <v>61</v>
      </c>
      <c r="E26" s="10">
        <v>9210</v>
      </c>
      <c r="F26" s="10">
        <v>9141</v>
      </c>
      <c r="G26" s="11">
        <v>0.99250000000000005</v>
      </c>
      <c r="H26" s="10">
        <v>69</v>
      </c>
      <c r="I26" s="12">
        <v>7.4999999999999997E-3</v>
      </c>
      <c r="J26" s="10">
        <v>3</v>
      </c>
      <c r="K26" s="10">
        <v>39</v>
      </c>
      <c r="L26" s="10">
        <v>27</v>
      </c>
    </row>
    <row r="27" spans="2:12" x14ac:dyDescent="0.25">
      <c r="B27" s="13" t="s">
        <v>62</v>
      </c>
      <c r="C27" s="14"/>
      <c r="D27" s="14"/>
      <c r="E27" s="15">
        <f>SUM(E6:E26)</f>
        <v>561671</v>
      </c>
      <c r="F27" s="15">
        <f>SUM(F6:F26)</f>
        <v>355787</v>
      </c>
      <c r="G27" s="16">
        <f>F27/E27</f>
        <v>0.63344377758509873</v>
      </c>
      <c r="H27" s="15">
        <f>SUM(H6:H26)</f>
        <v>205884</v>
      </c>
      <c r="I27" s="16">
        <f>H27/E27</f>
        <v>0.36655622241490127</v>
      </c>
      <c r="J27" s="15">
        <f>SUM(J6:J26)</f>
        <v>5182</v>
      </c>
      <c r="K27" s="15">
        <f>SUM(K6:K26)</f>
        <v>64067</v>
      </c>
      <c r="L27" s="15">
        <f>SUM(L6:L26)</f>
        <v>136635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27"/>
  <sheetViews>
    <sheetView workbookViewId="0"/>
  </sheetViews>
  <sheetFormatPr defaultRowHeight="15" x14ac:dyDescent="0.25"/>
  <cols>
    <col min="1" max="1" width="12" customWidth="1"/>
    <col min="2" max="2" width="39" customWidth="1"/>
    <col min="3" max="4" width="12" customWidth="1"/>
    <col min="5" max="5" width="18" customWidth="1"/>
    <col min="6" max="6" width="23" customWidth="1"/>
    <col min="7" max="7" width="17" customWidth="1"/>
    <col min="8" max="8" width="27" customWidth="1"/>
    <col min="9" max="9" width="21" customWidth="1"/>
    <col min="10" max="10" width="34" customWidth="1"/>
    <col min="11" max="11" width="37" customWidth="1"/>
    <col min="12" max="12" width="29" customWidth="1"/>
    <col min="13" max="13" width="30" customWidth="1"/>
    <col min="14" max="14" width="28" customWidth="1"/>
  </cols>
  <sheetData>
    <row r="2" spans="2:14" ht="21" x14ac:dyDescent="0.35">
      <c r="B2" s="7" t="s">
        <v>63</v>
      </c>
    </row>
    <row r="3" spans="2:14" x14ac:dyDescent="0.25">
      <c r="B3" s="3" t="s">
        <v>64</v>
      </c>
    </row>
    <row r="5" spans="2:14" ht="27.95" customHeight="1" x14ac:dyDescent="0.25">
      <c r="B5" s="8" t="s">
        <v>30</v>
      </c>
      <c r="C5" s="8" t="s">
        <v>31</v>
      </c>
      <c r="D5" s="8" t="s">
        <v>32</v>
      </c>
      <c r="E5" s="8" t="s">
        <v>65</v>
      </c>
      <c r="F5" s="8" t="s">
        <v>66</v>
      </c>
      <c r="G5" s="8" t="s">
        <v>67</v>
      </c>
      <c r="H5" s="8" t="s">
        <v>68</v>
      </c>
      <c r="I5" s="8" t="s">
        <v>69</v>
      </c>
      <c r="J5" s="8" t="s">
        <v>70</v>
      </c>
      <c r="K5" s="8" t="s">
        <v>71</v>
      </c>
      <c r="L5" s="8" t="s">
        <v>72</v>
      </c>
      <c r="M5" s="8" t="s">
        <v>73</v>
      </c>
      <c r="N5" s="8" t="s">
        <v>74</v>
      </c>
    </row>
    <row r="6" spans="2:14" x14ac:dyDescent="0.25">
      <c r="B6" s="9">
        <v>2025</v>
      </c>
      <c r="C6" s="9">
        <v>1</v>
      </c>
      <c r="D6" s="9" t="s">
        <v>41</v>
      </c>
      <c r="E6" s="10">
        <v>35</v>
      </c>
      <c r="F6" s="10">
        <v>0</v>
      </c>
      <c r="G6" s="11">
        <v>0</v>
      </c>
      <c r="H6" s="10">
        <v>35</v>
      </c>
      <c r="I6" s="12">
        <v>1</v>
      </c>
      <c r="J6" s="10">
        <v>2</v>
      </c>
      <c r="K6" s="10">
        <v>0</v>
      </c>
      <c r="L6" s="10">
        <v>0</v>
      </c>
      <c r="M6" s="10">
        <v>7</v>
      </c>
      <c r="N6" s="10">
        <v>28</v>
      </c>
    </row>
    <row r="7" spans="2:14" x14ac:dyDescent="0.25">
      <c r="B7" s="9">
        <v>2025</v>
      </c>
      <c r="C7" s="9">
        <v>2</v>
      </c>
      <c r="D7" s="9" t="s">
        <v>42</v>
      </c>
      <c r="E7" s="10">
        <v>6</v>
      </c>
      <c r="F7" s="10">
        <v>0</v>
      </c>
      <c r="G7" s="11">
        <v>0</v>
      </c>
      <c r="H7" s="10">
        <v>6</v>
      </c>
      <c r="I7" s="12">
        <v>1</v>
      </c>
      <c r="J7" s="10">
        <v>1</v>
      </c>
      <c r="K7" s="10">
        <v>1</v>
      </c>
      <c r="L7" s="10">
        <v>0</v>
      </c>
      <c r="M7" s="10">
        <v>5</v>
      </c>
      <c r="N7" s="10">
        <v>0</v>
      </c>
    </row>
    <row r="8" spans="2:14" x14ac:dyDescent="0.25">
      <c r="B8" s="9">
        <v>2025</v>
      </c>
      <c r="C8" s="9">
        <v>3</v>
      </c>
      <c r="D8" s="9" t="s">
        <v>43</v>
      </c>
      <c r="E8" s="10">
        <v>21</v>
      </c>
      <c r="F8" s="10">
        <v>2</v>
      </c>
      <c r="G8" s="11">
        <v>9.5200000000000007E-2</v>
      </c>
      <c r="H8" s="10">
        <v>19</v>
      </c>
      <c r="I8" s="12">
        <v>0.90480000000000005</v>
      </c>
      <c r="J8" s="10">
        <v>4</v>
      </c>
      <c r="K8" s="10">
        <v>1</v>
      </c>
      <c r="L8" s="10">
        <v>0</v>
      </c>
      <c r="M8" s="10">
        <v>17</v>
      </c>
      <c r="N8" s="10">
        <v>1</v>
      </c>
    </row>
    <row r="9" spans="2:14" x14ac:dyDescent="0.25">
      <c r="B9" s="9">
        <v>2025</v>
      </c>
      <c r="C9" s="9">
        <v>4</v>
      </c>
      <c r="D9" s="9" t="s">
        <v>44</v>
      </c>
      <c r="E9" s="10">
        <v>239</v>
      </c>
      <c r="F9" s="10">
        <v>2</v>
      </c>
      <c r="G9" s="11">
        <v>8.3999999999999995E-3</v>
      </c>
      <c r="H9" s="10">
        <v>237</v>
      </c>
      <c r="I9" s="12">
        <v>0.99160000000000004</v>
      </c>
      <c r="J9" s="10">
        <v>10</v>
      </c>
      <c r="K9" s="10">
        <v>99</v>
      </c>
      <c r="L9" s="10">
        <v>0</v>
      </c>
      <c r="M9" s="10">
        <v>76</v>
      </c>
      <c r="N9" s="10">
        <v>62</v>
      </c>
    </row>
    <row r="10" spans="2:14" x14ac:dyDescent="0.25">
      <c r="B10" s="9">
        <v>2025</v>
      </c>
      <c r="C10" s="9">
        <v>5</v>
      </c>
      <c r="D10" s="9" t="s">
        <v>45</v>
      </c>
      <c r="E10" s="10">
        <v>2464</v>
      </c>
      <c r="F10" s="10">
        <v>1352</v>
      </c>
      <c r="G10" s="11">
        <v>0.54869999999999997</v>
      </c>
      <c r="H10" s="10">
        <v>1112</v>
      </c>
      <c r="I10" s="12">
        <v>0.45129999999999998</v>
      </c>
      <c r="J10" s="10">
        <v>539</v>
      </c>
      <c r="K10" s="10">
        <v>389</v>
      </c>
      <c r="L10" s="10">
        <v>0</v>
      </c>
      <c r="M10" s="10">
        <v>330</v>
      </c>
      <c r="N10" s="10">
        <v>393</v>
      </c>
    </row>
    <row r="11" spans="2:14" x14ac:dyDescent="0.25">
      <c r="B11" s="9">
        <v>2025</v>
      </c>
      <c r="C11" s="9">
        <v>6</v>
      </c>
      <c r="D11" s="9" t="s">
        <v>46</v>
      </c>
      <c r="E11" s="10">
        <v>5097</v>
      </c>
      <c r="F11" s="10">
        <v>3417</v>
      </c>
      <c r="G11" s="11">
        <v>0.6704</v>
      </c>
      <c r="H11" s="10">
        <v>1680</v>
      </c>
      <c r="I11" s="12">
        <v>0.3296</v>
      </c>
      <c r="J11" s="10">
        <v>532</v>
      </c>
      <c r="K11" s="10">
        <v>699</v>
      </c>
      <c r="L11" s="10">
        <v>0</v>
      </c>
      <c r="M11" s="10">
        <v>384</v>
      </c>
      <c r="N11" s="10">
        <v>597</v>
      </c>
    </row>
    <row r="12" spans="2:14" x14ac:dyDescent="0.25">
      <c r="B12" s="9">
        <v>2025</v>
      </c>
      <c r="C12" s="9">
        <v>7</v>
      </c>
      <c r="D12" s="9" t="s">
        <v>47</v>
      </c>
      <c r="E12" s="10">
        <v>5567</v>
      </c>
      <c r="F12" s="10">
        <v>4336</v>
      </c>
      <c r="G12" s="11">
        <v>0.77890000000000004</v>
      </c>
      <c r="H12" s="10">
        <v>1231</v>
      </c>
      <c r="I12" s="12">
        <v>0.22109999999999999</v>
      </c>
      <c r="J12" s="10">
        <v>687</v>
      </c>
      <c r="K12" s="10">
        <v>369</v>
      </c>
      <c r="L12" s="10">
        <v>0</v>
      </c>
      <c r="M12" s="10">
        <v>315</v>
      </c>
      <c r="N12" s="10">
        <v>547</v>
      </c>
    </row>
    <row r="13" spans="2:14" x14ac:dyDescent="0.25">
      <c r="B13" s="9">
        <v>2025</v>
      </c>
      <c r="C13" s="9">
        <v>8</v>
      </c>
      <c r="D13" s="9" t="s">
        <v>48</v>
      </c>
      <c r="E13" s="10">
        <v>4054</v>
      </c>
      <c r="F13" s="10">
        <v>2958</v>
      </c>
      <c r="G13" s="11">
        <v>0.72960000000000003</v>
      </c>
      <c r="H13" s="10">
        <v>1096</v>
      </c>
      <c r="I13" s="12">
        <v>0.27039999999999997</v>
      </c>
      <c r="J13" s="10">
        <v>342</v>
      </c>
      <c r="K13" s="10">
        <v>393</v>
      </c>
      <c r="L13" s="10">
        <v>0</v>
      </c>
      <c r="M13" s="10">
        <v>353</v>
      </c>
      <c r="N13" s="10">
        <v>350</v>
      </c>
    </row>
    <row r="14" spans="2:14" x14ac:dyDescent="0.25">
      <c r="B14" s="9">
        <v>2025</v>
      </c>
      <c r="C14" s="9">
        <v>9</v>
      </c>
      <c r="D14" s="9" t="s">
        <v>49</v>
      </c>
      <c r="E14" s="10">
        <v>5517</v>
      </c>
      <c r="F14" s="10">
        <v>4360</v>
      </c>
      <c r="G14" s="11">
        <v>0.7903</v>
      </c>
      <c r="H14" s="10">
        <v>1157</v>
      </c>
      <c r="I14" s="12">
        <v>0.2097</v>
      </c>
      <c r="J14" s="10">
        <v>733</v>
      </c>
      <c r="K14" s="10">
        <v>389</v>
      </c>
      <c r="L14" s="10">
        <v>0</v>
      </c>
      <c r="M14" s="10">
        <v>400</v>
      </c>
      <c r="N14" s="10">
        <v>368</v>
      </c>
    </row>
    <row r="15" spans="2:14" x14ac:dyDescent="0.25">
      <c r="B15" s="9">
        <v>2025</v>
      </c>
      <c r="C15" s="9">
        <v>10</v>
      </c>
      <c r="D15" s="9" t="s">
        <v>50</v>
      </c>
      <c r="E15" s="10">
        <v>5653</v>
      </c>
      <c r="F15" s="10">
        <v>4463</v>
      </c>
      <c r="G15" s="11">
        <v>0.78949999999999998</v>
      </c>
      <c r="H15" s="10">
        <v>1190</v>
      </c>
      <c r="I15" s="12">
        <v>0.21049999999999999</v>
      </c>
      <c r="J15" s="10">
        <v>541</v>
      </c>
      <c r="K15" s="10">
        <v>359</v>
      </c>
      <c r="L15" s="10">
        <v>0</v>
      </c>
      <c r="M15" s="10">
        <v>323</v>
      </c>
      <c r="N15" s="10">
        <v>508</v>
      </c>
    </row>
    <row r="16" spans="2:14" x14ac:dyDescent="0.25">
      <c r="B16" s="9">
        <v>2025</v>
      </c>
      <c r="C16" s="9">
        <v>11</v>
      </c>
      <c r="D16" s="9" t="s">
        <v>51</v>
      </c>
      <c r="E16" s="10">
        <v>4867</v>
      </c>
      <c r="F16" s="10">
        <v>4224</v>
      </c>
      <c r="G16" s="11">
        <v>0.8679</v>
      </c>
      <c r="H16" s="10">
        <v>643</v>
      </c>
      <c r="I16" s="12">
        <v>0.1321</v>
      </c>
      <c r="J16" s="10">
        <v>525</v>
      </c>
      <c r="K16" s="10">
        <v>113</v>
      </c>
      <c r="L16" s="10">
        <v>0</v>
      </c>
      <c r="M16" s="10">
        <v>305</v>
      </c>
      <c r="N16" s="10">
        <v>225</v>
      </c>
    </row>
    <row r="17" spans="2:14" x14ac:dyDescent="0.25">
      <c r="B17" s="9">
        <v>2025</v>
      </c>
      <c r="C17" s="9">
        <v>12</v>
      </c>
      <c r="D17" s="9" t="s">
        <v>52</v>
      </c>
      <c r="E17" s="10">
        <v>15404</v>
      </c>
      <c r="F17" s="10">
        <v>4529</v>
      </c>
      <c r="G17" s="11">
        <v>0.29399999999999998</v>
      </c>
      <c r="H17" s="10">
        <v>10875</v>
      </c>
      <c r="I17" s="12">
        <v>0.70599999999999996</v>
      </c>
      <c r="J17" s="10">
        <v>312</v>
      </c>
      <c r="K17" s="10">
        <v>174</v>
      </c>
      <c r="L17" s="10">
        <v>10094</v>
      </c>
      <c r="M17" s="10">
        <v>366</v>
      </c>
      <c r="N17" s="10">
        <v>241</v>
      </c>
    </row>
    <row r="18" spans="2:14" x14ac:dyDescent="0.25">
      <c r="B18" s="9">
        <v>2026</v>
      </c>
      <c r="C18" s="9">
        <v>1</v>
      </c>
      <c r="D18" s="9" t="s">
        <v>53</v>
      </c>
      <c r="E18" s="10">
        <v>16434</v>
      </c>
      <c r="F18" s="10">
        <v>4219</v>
      </c>
      <c r="G18" s="11">
        <v>0.25669999999999998</v>
      </c>
      <c r="H18" s="10">
        <v>12215</v>
      </c>
      <c r="I18" s="12">
        <v>0.74329999999999996</v>
      </c>
      <c r="J18" s="10">
        <v>712</v>
      </c>
      <c r="K18" s="10">
        <v>7603</v>
      </c>
      <c r="L18" s="10">
        <v>3710</v>
      </c>
      <c r="M18" s="10">
        <v>497</v>
      </c>
      <c r="N18" s="10">
        <v>405</v>
      </c>
    </row>
    <row r="19" spans="2:14" x14ac:dyDescent="0.25">
      <c r="B19" s="9">
        <v>2026</v>
      </c>
      <c r="C19" s="9">
        <v>2</v>
      </c>
      <c r="D19" s="9" t="s">
        <v>54</v>
      </c>
      <c r="E19" s="10">
        <v>6928</v>
      </c>
      <c r="F19" s="10">
        <v>4309</v>
      </c>
      <c r="G19" s="11">
        <v>0.622</v>
      </c>
      <c r="H19" s="10">
        <v>2619</v>
      </c>
      <c r="I19" s="12">
        <v>0.378</v>
      </c>
      <c r="J19" s="10">
        <v>442</v>
      </c>
      <c r="K19" s="10">
        <v>449</v>
      </c>
      <c r="L19" s="10">
        <v>1512</v>
      </c>
      <c r="M19" s="10">
        <v>98</v>
      </c>
      <c r="N19" s="10">
        <v>560</v>
      </c>
    </row>
    <row r="20" spans="2:14" x14ac:dyDescent="0.25">
      <c r="B20" s="9">
        <v>2026</v>
      </c>
      <c r="C20" s="9">
        <v>3</v>
      </c>
      <c r="D20" s="9" t="s">
        <v>55</v>
      </c>
      <c r="E20" s="10">
        <v>5627</v>
      </c>
      <c r="F20" s="10">
        <v>4789</v>
      </c>
      <c r="G20" s="11">
        <v>0.85109999999999997</v>
      </c>
      <c r="H20" s="10">
        <v>838</v>
      </c>
      <c r="I20" s="12">
        <v>0.1489</v>
      </c>
      <c r="J20" s="10">
        <v>535</v>
      </c>
      <c r="K20" s="10">
        <v>285</v>
      </c>
      <c r="L20" s="10">
        <v>1</v>
      </c>
      <c r="M20" s="10">
        <v>220</v>
      </c>
      <c r="N20" s="10">
        <v>332</v>
      </c>
    </row>
    <row r="21" spans="2:14" x14ac:dyDescent="0.25">
      <c r="B21" s="9">
        <v>2026</v>
      </c>
      <c r="C21" s="9">
        <v>4</v>
      </c>
      <c r="D21" s="9" t="s">
        <v>56</v>
      </c>
      <c r="E21" s="10">
        <v>6034</v>
      </c>
      <c r="F21" s="10">
        <v>5704</v>
      </c>
      <c r="G21" s="11">
        <v>0.94530000000000003</v>
      </c>
      <c r="H21" s="10">
        <v>330</v>
      </c>
      <c r="I21" s="12">
        <v>5.4699999999999999E-2</v>
      </c>
      <c r="J21" s="10">
        <v>442</v>
      </c>
      <c r="K21" s="10">
        <v>140</v>
      </c>
      <c r="L21" s="10">
        <v>0</v>
      </c>
      <c r="M21" s="10">
        <v>60</v>
      </c>
      <c r="N21" s="10">
        <v>130</v>
      </c>
    </row>
    <row r="22" spans="2:14" x14ac:dyDescent="0.25">
      <c r="B22" s="9">
        <v>2026</v>
      </c>
      <c r="C22" s="9">
        <v>5</v>
      </c>
      <c r="D22" s="9" t="s">
        <v>57</v>
      </c>
      <c r="E22" s="10">
        <v>5437</v>
      </c>
      <c r="F22" s="10">
        <v>4867</v>
      </c>
      <c r="G22" s="11">
        <v>0.8952</v>
      </c>
      <c r="H22" s="10">
        <v>570</v>
      </c>
      <c r="I22" s="12">
        <v>0.1048</v>
      </c>
      <c r="J22" s="10">
        <v>394</v>
      </c>
      <c r="K22" s="10">
        <v>122</v>
      </c>
      <c r="L22" s="10">
        <v>105</v>
      </c>
      <c r="M22" s="10">
        <v>156</v>
      </c>
      <c r="N22" s="10">
        <v>187</v>
      </c>
    </row>
    <row r="23" spans="2:14" x14ac:dyDescent="0.25">
      <c r="B23" s="9">
        <v>2026</v>
      </c>
      <c r="C23" s="9">
        <v>6</v>
      </c>
      <c r="D23" s="9" t="s">
        <v>58</v>
      </c>
      <c r="E23" s="10">
        <v>6030</v>
      </c>
      <c r="F23" s="10">
        <v>5691</v>
      </c>
      <c r="G23" s="11">
        <v>0.94379999999999997</v>
      </c>
      <c r="H23" s="10">
        <v>339</v>
      </c>
      <c r="I23" s="12">
        <v>5.62E-2</v>
      </c>
      <c r="J23" s="10">
        <v>366</v>
      </c>
      <c r="K23" s="10">
        <v>36</v>
      </c>
      <c r="L23" s="10">
        <v>216</v>
      </c>
      <c r="M23" s="10">
        <v>42</v>
      </c>
      <c r="N23" s="10">
        <v>45</v>
      </c>
    </row>
    <row r="24" spans="2:14" x14ac:dyDescent="0.25">
      <c r="B24" s="9">
        <v>2026</v>
      </c>
      <c r="C24" s="9">
        <v>7</v>
      </c>
      <c r="D24" s="9" t="s">
        <v>59</v>
      </c>
      <c r="E24" s="10">
        <v>5425</v>
      </c>
      <c r="F24" s="10">
        <v>5244</v>
      </c>
      <c r="G24" s="11">
        <v>0.96660000000000001</v>
      </c>
      <c r="H24" s="10">
        <v>181</v>
      </c>
      <c r="I24" s="12">
        <v>3.3399999999999999E-2</v>
      </c>
      <c r="J24" s="10">
        <v>278</v>
      </c>
      <c r="K24" s="10">
        <v>60</v>
      </c>
      <c r="L24" s="10">
        <v>36</v>
      </c>
      <c r="M24" s="10">
        <v>32</v>
      </c>
      <c r="N24" s="10">
        <v>53</v>
      </c>
    </row>
    <row r="25" spans="2:14" x14ac:dyDescent="0.25">
      <c r="B25" s="9">
        <v>2026</v>
      </c>
      <c r="C25" s="9">
        <v>8</v>
      </c>
      <c r="D25" s="9" t="s">
        <v>60</v>
      </c>
      <c r="E25" s="10">
        <v>3445</v>
      </c>
      <c r="F25" s="10">
        <v>3257</v>
      </c>
      <c r="G25" s="11">
        <v>0.94540000000000002</v>
      </c>
      <c r="H25" s="10">
        <v>188</v>
      </c>
      <c r="I25" s="12">
        <v>5.4600000000000003E-2</v>
      </c>
      <c r="J25" s="10">
        <v>133</v>
      </c>
      <c r="K25" s="10">
        <v>36</v>
      </c>
      <c r="L25" s="10">
        <v>0</v>
      </c>
      <c r="M25" s="10">
        <v>127</v>
      </c>
      <c r="N25" s="10">
        <v>25</v>
      </c>
    </row>
    <row r="26" spans="2:14" x14ac:dyDescent="0.25">
      <c r="B26" s="9">
        <v>2026</v>
      </c>
      <c r="C26" s="9">
        <v>9</v>
      </c>
      <c r="D26" s="9" t="s">
        <v>61</v>
      </c>
      <c r="E26" s="10">
        <v>1977</v>
      </c>
      <c r="F26" s="10">
        <v>1967</v>
      </c>
      <c r="G26" s="11">
        <v>0.99490000000000001</v>
      </c>
      <c r="H26" s="10">
        <v>10</v>
      </c>
      <c r="I26" s="12">
        <v>5.1000000000000004E-3</v>
      </c>
      <c r="J26" s="10">
        <v>87</v>
      </c>
      <c r="K26" s="10">
        <v>1</v>
      </c>
      <c r="L26" s="10">
        <v>0</v>
      </c>
      <c r="M26" s="10">
        <v>7</v>
      </c>
      <c r="N26" s="10">
        <v>2</v>
      </c>
    </row>
    <row r="27" spans="2:14" x14ac:dyDescent="0.25">
      <c r="B27" s="13" t="s">
        <v>62</v>
      </c>
      <c r="C27" s="14"/>
      <c r="D27" s="14"/>
      <c r="E27" s="15">
        <f>SUM(E6:E26)</f>
        <v>106261</v>
      </c>
      <c r="F27" s="15">
        <f>SUM(F6:F26)</f>
        <v>69690</v>
      </c>
      <c r="G27" s="16">
        <f>F27/E27</f>
        <v>0.65583798383226211</v>
      </c>
      <c r="H27" s="15">
        <f>SUM(H6:H26)</f>
        <v>36571</v>
      </c>
      <c r="I27" s="16">
        <f>H27/E27</f>
        <v>0.34416201616773795</v>
      </c>
      <c r="J27" s="15">
        <f>SUM(J6:J26)</f>
        <v>7617</v>
      </c>
      <c r="K27" s="15">
        <f>SUM(K6:K26)</f>
        <v>11718</v>
      </c>
      <c r="L27" s="15">
        <f>SUM(L6:L26)</f>
        <v>15674</v>
      </c>
      <c r="M27" s="15">
        <f>SUM(M6:M26)</f>
        <v>4120</v>
      </c>
      <c r="N27" s="15">
        <f>SUM(N6:N26)</f>
        <v>5059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1"/>
  <sheetViews>
    <sheetView workbookViewId="0"/>
  </sheetViews>
  <sheetFormatPr defaultRowHeight="15" x14ac:dyDescent="0.25"/>
  <cols>
    <col min="1" max="1" width="12" customWidth="1"/>
    <col min="2" max="2" width="79" customWidth="1"/>
    <col min="3" max="3" width="26" customWidth="1"/>
    <col min="4" max="4" width="31" customWidth="1"/>
    <col min="5" max="5" width="32" customWidth="1"/>
    <col min="6" max="6" width="26" customWidth="1"/>
    <col min="7" max="7" width="130" customWidth="1"/>
  </cols>
  <sheetData>
    <row r="2" spans="2:7" ht="21" x14ac:dyDescent="0.35">
      <c r="B2" s="7" t="s">
        <v>75</v>
      </c>
    </row>
    <row r="3" spans="2:7" x14ac:dyDescent="0.25">
      <c r="B3" s="3" t="s">
        <v>76</v>
      </c>
    </row>
    <row r="5" spans="2:7" ht="27.95" customHeight="1" x14ac:dyDescent="0.25">
      <c r="B5" s="8" t="s">
        <v>77</v>
      </c>
      <c r="C5" s="8" t="s">
        <v>78</v>
      </c>
      <c r="D5" s="8" t="s">
        <v>79</v>
      </c>
      <c r="E5" s="8" t="s">
        <v>80</v>
      </c>
      <c r="F5" s="8" t="s">
        <v>81</v>
      </c>
      <c r="G5" s="8" t="s">
        <v>82</v>
      </c>
    </row>
    <row r="6" spans="2:7" x14ac:dyDescent="0.25">
      <c r="B6" s="17" t="s">
        <v>83</v>
      </c>
      <c r="C6" s="10">
        <v>50417</v>
      </c>
      <c r="D6" s="10">
        <v>46781</v>
      </c>
      <c r="E6" s="10">
        <v>3636</v>
      </c>
      <c r="F6" s="11">
        <v>7.2099999999999997E-2</v>
      </c>
      <c r="G6" s="17" t="s">
        <v>84</v>
      </c>
    </row>
    <row r="7" spans="2:7" x14ac:dyDescent="0.25">
      <c r="B7" s="17" t="s">
        <v>85</v>
      </c>
      <c r="C7" s="10">
        <v>22203</v>
      </c>
      <c r="D7" s="10">
        <v>11156</v>
      </c>
      <c r="E7" s="10">
        <v>11047</v>
      </c>
      <c r="F7" s="12">
        <v>0.4975</v>
      </c>
      <c r="G7" s="17" t="s">
        <v>86</v>
      </c>
    </row>
    <row r="8" spans="2:7" x14ac:dyDescent="0.25">
      <c r="B8" s="17" t="s">
        <v>87</v>
      </c>
      <c r="C8" s="10">
        <v>17991</v>
      </c>
      <c r="D8" s="10">
        <v>2317</v>
      </c>
      <c r="E8" s="10">
        <v>15674</v>
      </c>
      <c r="F8" s="12">
        <v>0.87119999999999997</v>
      </c>
      <c r="G8" s="17" t="s">
        <v>88</v>
      </c>
    </row>
    <row r="9" spans="2:7" x14ac:dyDescent="0.25">
      <c r="B9" s="17" t="s">
        <v>89</v>
      </c>
      <c r="C9" s="10">
        <v>8033</v>
      </c>
      <c r="D9" s="10">
        <v>5085</v>
      </c>
      <c r="E9" s="10">
        <v>2948</v>
      </c>
      <c r="F9" s="11">
        <v>0.36699999999999999</v>
      </c>
      <c r="G9" s="17" t="s">
        <v>90</v>
      </c>
    </row>
    <row r="10" spans="2:7" x14ac:dyDescent="0.25">
      <c r="B10" s="17" t="s">
        <v>91</v>
      </c>
      <c r="C10" s="10">
        <v>7617</v>
      </c>
      <c r="D10" s="10">
        <v>4351</v>
      </c>
      <c r="E10" s="10">
        <v>3266</v>
      </c>
      <c r="F10" s="12">
        <v>0.42880000000000001</v>
      </c>
      <c r="G10" s="17" t="s">
        <v>92</v>
      </c>
    </row>
    <row r="11" spans="2:7" x14ac:dyDescent="0.25">
      <c r="B11" s="14" t="s">
        <v>93</v>
      </c>
      <c r="C11" s="15">
        <f>SUM(C6:C10)</f>
        <v>106261</v>
      </c>
      <c r="D11" s="15">
        <f>SUM(D6:D10)</f>
        <v>69690</v>
      </c>
      <c r="E11" s="15">
        <f>SUM(E6:E10)</f>
        <v>36571</v>
      </c>
      <c r="F11" s="16">
        <f>E11/C11</f>
        <v>0.34416201616773795</v>
      </c>
      <c r="G11" s="14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Dashboard &amp; Sintesi</vt:lpstr>
      <vt:lpstr>Avanzamenti Mensili</vt:lpstr>
      <vt:lpstr>Consumi Mensili</vt:lpstr>
      <vt:lpstr>Sinottico per Tipologia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Bandera</cp:lastModifiedBy>
  <dcterms:created xsi:type="dcterms:W3CDTF">2026-09-23T10:19:28Z</dcterms:created>
  <dcterms:modified xsi:type="dcterms:W3CDTF">2026-09-23T10:37:45Z</dcterms:modified>
</cp:coreProperties>
</file>